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sc\Desktop\Proyectos\Profit Bridge\"/>
    </mc:Choice>
  </mc:AlternateContent>
  <xr:revisionPtr revIDLastSave="0" documentId="13_ncr:1_{60C46A20-EEA3-40DB-95DC-F49515563A82}" xr6:coauthVersionLast="47" xr6:coauthVersionMax="47" xr10:uidLastSave="{00000000-0000-0000-0000-000000000000}"/>
  <bookViews>
    <workbookView xWindow="-108" yWindow="-108" windowWidth="23256" windowHeight="12456" xr2:uid="{2D584F6E-9714-4BC7-AAB4-8962E951CEA4}"/>
  </bookViews>
  <sheets>
    <sheet name="Profit Bridge" sheetId="8" r:id="rId1"/>
    <sheet name="Ventas" sheetId="5" r:id="rId2"/>
  </sheets>
  <definedNames>
    <definedName name="_xlchart.v1.0" hidden="1">'Profit Bridge'!$C$21:$C$26</definedName>
    <definedName name="_xlchart.v1.1" hidden="1">'Profit Bridge'!$D$21:$D$26</definedName>
    <definedName name="_xlchart.v1.2" hidden="1">'Profit Bridge'!$A$22:$A$27</definedName>
    <definedName name="_xlchart.v1.3" hidden="1">'Profit Bridge'!$B$22:$B$27</definedName>
    <definedName name="_xlchart.v1.4" hidden="1">Ventas!#REF!</definedName>
    <definedName name="_xlchart.v1.5" hidden="1">Ventas!#REF!</definedName>
    <definedName name="_xlchart.v1.6" hidden="1">'Profit Bridge'!$C$21:$C$26</definedName>
    <definedName name="_xlchart.v1.7" hidden="1">'Profit Bridge'!$D$21:$D$26</definedName>
    <definedName name="_xlchart.v1.8" hidden="1">Ventas!#REF!</definedName>
    <definedName name="_xlchart.v1.9" hidden="1">Ventas!#REF!</definedName>
    <definedName name="_xlcn.WorksheetConnection_Workingproject.xlsxTabla11" hidden="1">Tabla1[]</definedName>
    <definedName name="SegmentaciónDeDatos_Linea">#N/A</definedName>
    <definedName name="SegmentaciónDeDatos_Vendedor">#N/A</definedName>
  </definedNames>
  <calcPr calcId="191029"/>
  <pivotCaches>
    <pivotCache cacheId="298" r:id="rId3"/>
    <pivotCache cacheId="299" r:id="rId4"/>
  </pivotCaches>
  <extLst>
    <ext xmlns:x14="http://schemas.microsoft.com/office/spreadsheetml/2009/9/main" uri="{876F7934-8845-4945-9796-88D515C7AA90}">
      <x14:pivotCaches>
        <pivotCache cacheId="297" r:id="rId5"/>
      </x14:pivotCaches>
    </ex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Ventas" connection="WorksheetConnection_Working project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8" i="5" l="1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C21" i="8"/>
  <c r="D21" i="8"/>
  <c r="D22" i="8"/>
  <c r="D23" i="8"/>
  <c r="D24" i="8"/>
  <c r="D25" i="8"/>
  <c r="D26" i="8"/>
  <c r="C26" i="8"/>
  <c r="C25" i="8"/>
  <c r="C24" i="8"/>
  <c r="C23" i="8"/>
  <c r="C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40790-286A-4FAE-9D13-DECF232C37F8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7923A00-0FB7-4BE6-AE35-E3E4B6946340}" name="WorksheetConnection_Working project.xlsx!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Workingproject.xlsxTabla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ThisWorkbookDataModel"/>
    <s v="{[Ventas].[Linea].[All]}"/>
    <s v="{[Ventas].[Vendedor].[All]}"/>
    <s v="[Measures].[ProfitP2]"/>
    <s v="[Measures].[MI]"/>
    <s v="[Measures].[VI]"/>
    <s v="[Measures].[PI]"/>
    <s v="[Measures].[QI]"/>
    <s v="[Measures].[ProfitP1]"/>
    <s v="0.00"/>
  </metadataStrings>
  <mdxMetadata count="14">
    <mdx n="0" f="s">
      <ms ns="1" c="0"/>
    </mdx>
    <mdx n="0" f="s">
      <ms ns="2" c="0"/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v">
      <t c="3" si="9">
        <n x="1" s="1"/>
        <n x="2" s="1"/>
        <n x="3"/>
      </t>
    </mdx>
    <mdx n="0" f="v">
      <t c="3" fi="0">
        <n x="1" s="1"/>
        <n x="2" s="1"/>
        <n x="4"/>
      </t>
    </mdx>
    <mdx n="0" f="v">
      <t c="3" fi="0">
        <n x="1" s="1"/>
        <n x="2" s="1"/>
        <n x="5"/>
      </t>
    </mdx>
    <mdx n="0" f="v">
      <t c="3" fi="0">
        <n x="1" s="1"/>
        <n x="2" s="1"/>
        <n x="6"/>
      </t>
    </mdx>
    <mdx n="0" f="v">
      <t c="3" fi="0">
        <n x="1" s="1"/>
        <n x="2" s="1"/>
        <n x="7"/>
      </t>
    </mdx>
    <mdx n="0" f="v">
      <t c="3" si="9">
        <n x="1" s="1"/>
        <n x="2" s="1"/>
        <n x="8"/>
      </t>
    </mdx>
  </mdx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<sst xmlns="http://schemas.openxmlformats.org/spreadsheetml/2006/main" count="81" uniqueCount="26">
  <si>
    <t>A</t>
  </si>
  <si>
    <t>B</t>
  </si>
  <si>
    <t>P2</t>
  </si>
  <si>
    <t>P1</t>
  </si>
  <si>
    <t>Periodo</t>
  </si>
  <si>
    <t>Producto</t>
  </si>
  <si>
    <t>Cantidad</t>
  </si>
  <si>
    <t>Precio</t>
  </si>
  <si>
    <t>CostoVar</t>
  </si>
  <si>
    <t>C</t>
  </si>
  <si>
    <t>D</t>
  </si>
  <si>
    <t>Vendedor</t>
  </si>
  <si>
    <t>Vendedor 1</t>
  </si>
  <si>
    <t>Vendedor 2</t>
  </si>
  <si>
    <t>Vendedor 3</t>
  </si>
  <si>
    <t>Vendedor 4</t>
  </si>
  <si>
    <t>LineaA</t>
  </si>
  <si>
    <t>LineaB</t>
  </si>
  <si>
    <t>Linea</t>
  </si>
  <si>
    <t>All</t>
  </si>
  <si>
    <t>Ganancia Primer Periodo (ProfitP1)</t>
  </si>
  <si>
    <t>Efecto Volumen (QI)</t>
  </si>
  <si>
    <t>Efecto Precio (PI)</t>
  </si>
  <si>
    <t>Efecto Costo (VI)</t>
  </si>
  <si>
    <t>Efecto Mix (MI)</t>
  </si>
  <si>
    <t>Ganancia Segundo Periodo (ProfitP2)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</si>
</sst>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sz val="11"/>
      <color theme="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9" fontId="0" fillId="0" borderId="0" xfId="0" applyNumberFormat="1"/>
    <xf numFmtId="0" fontId="0" fillId="0" borderId="0" xfId="0" pivotButton="1"/>
    <xf numFmtId="177" fontId="0" fillId="0" borderId="0" xfId="0" applyNumberForma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/>
    <xf numFmtId="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C22" s="8"/>
        <tr r="C23" s="8"/>
        <tr r="C24" s="8"/>
        <tr r="C25" s="8"/>
        <tr r="C26" s="8"/>
        <tr r="C21" s="8"/>
        <tr r="D26" s="8"/>
        <tr r="D25" s="8"/>
        <tr r="D24" s="8"/>
        <tr r="D23" s="8"/>
        <tr r="D22" s="8"/>
        <tr r="D21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7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volatileDependencies" Target="volatileDependencies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_xlchart.v1.6</cx:f>
      </cx:numDim>
    </cx:data>
  </cx:chartData>
  <cx:chart>
    <cx:title pos="t" align="ctr" overlay="0">
      <cx:tx>
        <cx:txData>
          <cx:v>PROFIT BRIDGE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Narrow" panose="020B0606020202030204" pitchFamily="34" charset="0"/>
            </a:rPr>
            <a:t>PROFIT BRIDGE</a:t>
          </a:r>
        </a:p>
      </cx:txPr>
    </cx:title>
    <cx:plotArea>
      <cx:plotAreaRegion>
        <cx:series layoutId="waterfall" uniqueId="{2A61DEB3-FB9C-4682-B8D5-ECC1FB5C5198}">
          <cx:dataPt idx="1">
            <cx:spPr>
              <a:solidFill>
                <a:srgbClr val="70AD47"/>
              </a:solidFill>
            </cx:spPr>
          </cx:dataPt>
          <cx:dataPt idx="2">
            <cx:spPr>
              <a:solidFill>
                <a:srgbClr val="70AD47"/>
              </a:solidFill>
            </cx:spPr>
          </cx:dataPt>
          <cx:dataPt idx="3">
            <cx:spPr>
              <a:solidFill>
                <a:srgbClr val="C00000"/>
              </a:solidFill>
            </cx:spPr>
          </cx:dataPt>
          <cx:dataPt idx="4">
            <cx:spPr>
              <a:solidFill>
                <a:srgbClr val="C00000"/>
              </a:solidFill>
            </cx:spPr>
          </cx:dataPt>
          <cx:dataLabels>
            <cx:numFmt formatCode="#,##0.0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latin typeface="Arial Narrow" panose="020B0606020202030204" pitchFamily="34" charset="0"/>
                    <a:ea typeface="Arial Narrow" panose="020B0606020202030204" pitchFamily="34" charset="0"/>
                    <a:cs typeface="Arial Narrow" panose="020B0606020202030204" pitchFamily="34" charset="0"/>
                  </a:defRPr>
                </a:pPr>
                <a:endParaRPr lang="es-E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 Narrow" panose="020B0606020202030204" pitchFamily="34" charset="0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Arial Narrow" panose="020B0606020202030204" pitchFamily="34" charset="0"/>
                <a:ea typeface="Arial Narrow" panose="020B0606020202030204" pitchFamily="34" charset="0"/>
                <a:cs typeface="Arial Narrow" panose="020B0606020202030204" pitchFamily="34" charset="0"/>
              </a:defRPr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Narrow" panose="020B0606020202030204" pitchFamily="34" charset="0"/>
            </a:endParaRPr>
          </a:p>
        </cx:txPr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Arial Narrow" panose="020B0606020202030204" pitchFamily="34" charset="0"/>
                <a:ea typeface="Arial Narrow" panose="020B0606020202030204" pitchFamily="34" charset="0"/>
                <a:cs typeface="Arial Narrow" panose="020B0606020202030204" pitchFamily="34" charset="0"/>
              </a:defRPr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Narrow" panose="020B060602020203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</xdr:row>
      <xdr:rowOff>99060</xdr:rowOff>
    </xdr:from>
    <xdr:to>
      <xdr:col>7</xdr:col>
      <xdr:colOff>731520</xdr:colOff>
      <xdr:row>18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14D21C07-FFD0-4E93-B033-85617831B2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" y="281940"/>
              <a:ext cx="7261860" cy="3032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259080</xdr:colOff>
      <xdr:row>1</xdr:row>
      <xdr:rowOff>91441</xdr:rowOff>
    </xdr:from>
    <xdr:to>
      <xdr:col>9</xdr:col>
      <xdr:colOff>685800</xdr:colOff>
      <xdr:row>6</xdr:row>
      <xdr:rowOff>175261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Linea">
              <a:extLst>
                <a:ext uri="{FF2B5EF4-FFF2-40B4-BE49-F238E27FC236}">
                  <a16:creationId xmlns:a16="http://schemas.microsoft.com/office/drawing/2014/main" id="{653A2C00-2EFA-9479-146D-2A16705E6A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ne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274321"/>
              <a:ext cx="1219200" cy="998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259080</xdr:colOff>
      <xdr:row>7</xdr:row>
      <xdr:rowOff>68581</xdr:rowOff>
    </xdr:from>
    <xdr:to>
      <xdr:col>9</xdr:col>
      <xdr:colOff>693420</xdr:colOff>
      <xdr:row>18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Vendedor">
              <a:extLst>
                <a:ext uri="{FF2B5EF4-FFF2-40B4-BE49-F238E27FC236}">
                  <a16:creationId xmlns:a16="http://schemas.microsoft.com/office/drawing/2014/main" id="{23A56F98-597E-330C-1B0D-8811FBC536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1348741"/>
              <a:ext cx="1226820" cy="1981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72.911335069446" createdVersion="5" refreshedVersion="8" minRefreshableVersion="3" recordCount="0" supportSubquery="1" supportAdvancedDrill="1" xr:uid="{869BFD7B-29C2-4694-9407-DA6A74DE5622}">
  <cacheSource type="external" connectionId="1"/>
  <cacheFields count="2">
    <cacheField name="[Ventas].[Linea].[Linea]" caption="Linea" numFmtId="0" hierarchy="1" level="1">
      <sharedItems containsSemiMixedTypes="0" containsNonDate="0" containsString="0"/>
    </cacheField>
    <cacheField name="[Ventas].[Vendedor].[Vendedor]" caption="Vendedor" numFmtId="0" hierarchy="2" level="1">
      <sharedItems containsSemiMixedTypes="0" containsNonDate="0" containsString="0"/>
    </cacheField>
  </cacheFields>
  <cacheHierarchies count="42">
    <cacheHierarchy uniqueName="[Ventas].[Periodo]" caption="Periodo" attribute="1" defaultMemberUniqueName="[Ventas].[Periodo].[All]" allUniqueName="[Ventas].[Periodo].[All]" dimensionUniqueName="[Ventas]" displayFolder="" count="0" memberValueDatatype="130" unbalanced="0"/>
    <cacheHierarchy uniqueName="[Ventas].[Linea]" caption="Linea" attribute="1" defaultMemberUniqueName="[Ventas].[Linea].[All]" allUniqueName="[Ventas].[Linea].[All]" dimensionUniqueName="[Ventas]" displayFolder="" count="2" memberValueDatatype="130" unbalanced="0">
      <fieldsUsage count="2">
        <fieldUsage x="-1"/>
        <fieldUsage x="0"/>
      </fieldsUsage>
    </cacheHierarchy>
    <cacheHierarchy uniqueName="[Ventas].[Vendedor]" caption="Vendedor" attribute="1" defaultMemberUniqueName="[Ventas].[Vendedor].[All]" allUniqueName="[Ventas].[Vendedor].[All]" dimensionUniqueName="[Ventas]" displayFolder="" count="2" memberValueDatatype="130" unbalanced="0">
      <fieldsUsage count="2">
        <fieldUsage x="-1"/>
        <fieldUsage x="1"/>
      </fieldsUsage>
    </cacheHierarchy>
    <cacheHierarchy uniqueName="[Ventas].[Producto]" caption="Producto" attribute="1" defaultMemberUniqueName="[Ventas].[Producto].[All]" allUniqueName="[Ventas].[Producto].[All]" dimensionUniqueName="[Ventas]" displayFolder="" count="0" memberValueDatatype="130" unbalanced="0"/>
    <cacheHierarchy uniqueName="[Ventas].[Cantidad]" caption="Cantidad" attribute="1" defaultMemberUniqueName="[Ventas].[Cantidad].[All]" allUniqueName="[Ventas].[Cantidad].[All]" dimensionUniqueName="[Ventas]" displayFolder="" count="0" memberValueDatatype="20" unbalanced="0"/>
    <cacheHierarchy uniqueName="[Ventas].[Precio]" caption="Precio" attribute="1" defaultMemberUniqueName="[Ventas].[Precio].[All]" allUniqueName="[Ventas].[Precio].[All]" dimensionUniqueName="[Ventas]" displayFolder="" count="0" memberValueDatatype="20" unbalanced="0"/>
    <cacheHierarchy uniqueName="[Ventas].[CostoVar]" caption="CostoVar" attribute="1" defaultMemberUniqueName="[Ventas].[CostoVar].[All]" allUniqueName="[Ventas].[CostoVar].[All]" dimensionUniqueName="[Ventas]" displayFolder="" count="0" memberValueDatatype="20" unbalanced="0"/>
    <cacheHierarchy uniqueName="[Measures].[Total Cantidad]" caption="Total Cantidad" measure="1" displayFolder="" measureGroup="Ventas" count="0"/>
    <cacheHierarchy uniqueName="[Measures].[Ingresos]" caption="Ingresos" measure="1" displayFolder="" measureGroup="Ventas" count="0"/>
    <cacheHierarchy uniqueName="[Measures].[Costos]" caption="Costos" measure="1" displayFolder="" measureGroup="Ventas" count="0"/>
    <cacheHierarchy uniqueName="[Measures].[Ganancia]" caption="Ganancia" measure="1" displayFolder="" measureGroup="Ventas" count="0"/>
    <cacheHierarchy uniqueName="[Measures].[ProfitP1]" caption="ProfitP1" measure="1" displayFolder="" measureGroup="Ventas" count="0"/>
    <cacheHierarchy uniqueName="[Measures].[ProfitP2]" caption="ProfitP2" measure="1" displayFolder="" measureGroup="Ventas" count="0"/>
    <cacheHierarchy uniqueName="[Measures].[TotalQVentasP1]" caption="TotalQVentasP1" measure="1" displayFolder="" measureGroup="Ventas" count="0"/>
    <cacheHierarchy uniqueName="[Measures].[TotalQVentasP2]" caption="TotalQVentasP2" measure="1" displayFolder="" measureGroup="Ventas" count="0"/>
    <cacheHierarchy uniqueName="[Measures].[TotalQPromedio]" caption="TotalQPromedio" measure="1" displayFolder="" measureGroup="Ventas" count="0"/>
    <cacheHierarchy uniqueName="[Measures].[TotalQVariacion]" caption="TotalQVariacion" measure="1" displayFolder="" measureGroup="Ventas" count="0"/>
    <cacheHierarchy uniqueName="[Measures].[MargenP1]" caption="MargenP1" measure="1" displayFolder="" measureGroup="Ventas" count="0"/>
    <cacheHierarchy uniqueName="[Measures].[MargenP2]" caption="MargenP2" measure="1" displayFolder="" measureGroup="Ventas" count="0"/>
    <cacheHierarchy uniqueName="[Measures].[MargentTotalPromedio]" caption="MargentTotalPromedio" measure="1" displayFolder="" measureGroup="Ventas" count="0"/>
    <cacheHierarchy uniqueName="[Measures].[QI]" caption="QI" measure="1" displayFolder="" measureGroup="Ventas" count="0"/>
    <cacheHierarchy uniqueName="[Measures].[MixP1]" caption="MixP1" measure="1" displayFolder="" measureGroup="Ventas" count="0"/>
    <cacheHierarchy uniqueName="[Measures].[MixPromedio]" caption="MixPromedio" measure="1" displayFolder="" measureGroup="Ventas" count="0"/>
    <cacheHierarchy uniqueName="[Measures].[PrecioPonderadoP1]" caption="PrecioPonderadoP1" measure="1" displayFolder="" measureGroup="Ventas" count="0"/>
    <cacheHierarchy uniqueName="[Measures].[PrecioPonderadoP2]" caption="PrecioPonderadoP2" measure="1" displayFolder="" measureGroup="Ventas" count="0"/>
    <cacheHierarchy uniqueName="[Measures].[VariacionPreciosPonderados]" caption="VariacionPreciosPonderados" measure="1" displayFolder="" measureGroup="Ventas" count="0"/>
    <cacheHierarchy uniqueName="[Measures].[PI]" caption="PI" measure="1" displayFolder="" measureGroup="Ventas" count="0"/>
    <cacheHierarchy uniqueName="[Measures].[ProfitBridge]" caption="ProfitBridge" measure="1" displayFolder="" measureGroup="Ventas" count="0"/>
    <cacheHierarchy uniqueName="[Measures].[QVentasP1]" caption="QVentasP1" measure="1" displayFolder="" measureGroup="Ventas" count="0"/>
    <cacheHierarchy uniqueName="[Measures].[QVentasP2]" caption="QVentasP2" measure="1" displayFolder="" measureGroup="Ventas" count="0"/>
    <cacheHierarchy uniqueName="[Measures].[MixP2]" caption="MixP2" measure="1" displayFolder="" measureGroup="Ventas" count="0"/>
    <cacheHierarchy uniqueName="[Measures].[CostoPonderadoP1]" caption="CostoPonderadoP1" measure="1" displayFolder="" measureGroup="Ventas" count="0"/>
    <cacheHierarchy uniqueName="[Measures].[CostoPonderadoP2]" caption="CostoPonderadoP2" measure="1" displayFolder="" measureGroup="Ventas" count="0"/>
    <cacheHierarchy uniqueName="[Measures].[VariacionCostoPonderado]" caption="VariacionCostoPonderado" measure="1" displayFolder="" measureGroup="Ventas" count="0"/>
    <cacheHierarchy uniqueName="[Measures].[VI]" caption="VI" measure="1" displayFolder="" measureGroup="Ventas" count="0"/>
    <cacheHierarchy uniqueName="[Measures].[PromedioPreciosPonderados]" caption="PromedioPreciosPonderados" measure="1" displayFolder="" measureGroup="Ventas" count="0"/>
    <cacheHierarchy uniqueName="[Measures].[PromedioCostosPonderados]" caption="PromedioCostosPonderados" measure="1" displayFolder="" measureGroup="Ventas" count="0"/>
    <cacheHierarchy uniqueName="[Measures].[MargenPromedioPonderado]" caption="MargenPromedioPonderado" measure="1" displayFolder="" measureGroup="Ventas" count="0"/>
    <cacheHierarchy uniqueName="[Measures].[VariacionMix]" caption="VariacionMix" measure="1" displayFolder="" measureGroup="Ventas" count="0"/>
    <cacheHierarchy uniqueName="[Measures].[MI]" caption="MI" measure="1" displayFolder="" measureGroup="Ventas" count="0"/>
    <cacheHierarchy uniqueName="[Measures].[__XL_Count Tabla1]" caption="__XL_Count Tabla1" measure="1" displayFolder="" measureGroup="Ventas" count="0" hidden="1"/>
    <cacheHierarchy uniqueName="[Measures].[__No hay medidas definidas]" caption="__No hay medidas definidas" measure="1" displayFolder="" count="0" hidden="1"/>
  </cacheHierarchies>
  <kpis count="0"/>
  <dimensions count="2">
    <dimension measure="1" name="Measures" uniqueName="[Measures]" caption="Measures"/>
    <dimension name="Ventas" uniqueName="[Ventas]" caption="Ventas"/>
  </dimensions>
  <measureGroups count="1">
    <measureGroup name="Ventas" caption="Vent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DELL" refreshedDate="46072.911336689816" createdVersion="3" refreshedVersion="8" minRefreshableVersion="3" recordCount="0" tupleCache="1" supportSubquery="1" supportAdvancedDrill="1" xr:uid="{AD37D7E6-3153-4A79-B76E-F2B96CF237DE}">
  <cacheSource type="external" connectionId="1"/>
  <cacheFields count="1">
    <cacheField name="[Measures].[MeasuresLevel]" caption="MeasuresLevel" numFmtId="0">
      <sharedItems count="6">
        <s v="[Measures].[ProfitP1]" c="ProfitP1"/>
        <s v="[Measures].[QI]" c="QI"/>
        <s v="[Measures].[PI]" c="PI"/>
        <s v="[Measures].[VI]" c="VI"/>
        <s v="[Measures].[MI]" c="MI"/>
        <s v="[Measures].[ProfitP2]" c="ProfitP2"/>
      </sharedItems>
    </cacheField>
  </cacheFields>
  <cacheHierarchies count="43">
    <cacheHierarchy uniqueName="[Measures]" caption="Measures" attribute="1" keyAttribute="1" defaultMemberUniqueName="[Measures].[__No hay medidas definidas]" dimensionUniqueName="[Measures]" displayFolder="" measures="1" count="1" memberValueDatatype="130" unbalanced="0">
      <fieldsUsage count="1">
        <fieldUsage x="0"/>
      </fieldsUsage>
    </cacheHierarchy>
    <cacheHierarchy uniqueName="[Ventas].[Periodo]" caption="Periodo" attribute="1" defaultMemberUniqueName="[Ventas].[Periodo].[All]" allUniqueName="[Ventas].[Periodo].[All]" dimensionUniqueName="[Ventas]" displayFolder="" count="2" memberValueDatatype="130" unbalanced="0"/>
    <cacheHierarchy uniqueName="[Ventas].[Linea]" caption="Linea" attribute="1" defaultMemberUniqueName="[Ventas].[Linea].[All]" allUniqueName="[Ventas].[Linea].[All]" allCaption="All" dimensionUniqueName="[Ventas]" displayFolder="" count="2" memberValueDatatype="130" unbalanced="0"/>
    <cacheHierarchy uniqueName="[Ventas].[Vendedor]" caption="Vendedor" attribute="1" defaultMemberUniqueName="[Ventas].[Vendedor].[All]" allUniqueName="[Ventas].[Vendedor].[All]" allCaption="All" dimensionUniqueName="[Ventas]" displayFolder="" count="2" memberValueDatatype="130" unbalanced="0"/>
    <cacheHierarchy uniqueName="[Ventas].[Producto]" caption="Producto" attribute="1" defaultMemberUniqueName="[Ventas].[Producto].[All]" allUniqueName="[Ventas].[Producto].[All]" dimensionUniqueName="[Ventas]" displayFolder="" count="2" memberValueDatatype="130" unbalanced="0"/>
    <cacheHierarchy uniqueName="[Ventas].[Cantidad]" caption="Cantidad" attribute="1" defaultMemberUniqueName="[Ventas].[Cantidad].[All]" allUniqueName="[Ventas].[Cantidad].[All]" dimensionUniqueName="[Ventas]" displayFolder="" count="2" memberValueDatatype="20" unbalanced="0"/>
    <cacheHierarchy uniqueName="[Ventas].[Precio]" caption="Precio" attribute="1" defaultMemberUniqueName="[Ventas].[Precio].[All]" allUniqueName="[Ventas].[Precio].[All]" dimensionUniqueName="[Ventas]" displayFolder="" count="2" memberValueDatatype="20" unbalanced="0"/>
    <cacheHierarchy uniqueName="[Ventas].[CostoVar]" caption="CostoVar" attribute="1" defaultMemberUniqueName="[Ventas].[CostoVar].[All]" allUniqueName="[Ventas].[CostoVar].[All]" dimensionUniqueName="[Ventas]" displayFolder="" count="2" memberValueDatatype="20" unbalanced="0"/>
    <cacheHierarchy uniqueName="[Measures].[Total Cantidad]" caption="Total Cantidad" measure="1" displayFolder="" measureGroup="Ventas" count="0"/>
    <cacheHierarchy uniqueName="[Measures].[Ingresos]" caption="Ingresos" measure="1" displayFolder="" measureGroup="Ventas" count="0"/>
    <cacheHierarchy uniqueName="[Measures].[Costos]" caption="Costos" measure="1" displayFolder="" measureGroup="Ventas" count="0"/>
    <cacheHierarchy uniqueName="[Measures].[Ganancia]" caption="Ganancia" measure="1" displayFolder="" measureGroup="Ventas" count="0"/>
    <cacheHierarchy uniqueName="[Measures].[ProfitP1]" caption="ProfitP1" measure="1" displayFolder="" measureGroup="Ventas" count="0"/>
    <cacheHierarchy uniqueName="[Measures].[ProfitP2]" caption="ProfitP2" measure="1" displayFolder="" measureGroup="Ventas" count="0"/>
    <cacheHierarchy uniqueName="[Measures].[TotalQVentasP1]" caption="TotalQVentasP1" measure="1" displayFolder="" measureGroup="Ventas" count="0"/>
    <cacheHierarchy uniqueName="[Measures].[TotalQVentasP2]" caption="TotalQVentasP2" measure="1" displayFolder="" measureGroup="Ventas" count="0"/>
    <cacheHierarchy uniqueName="[Measures].[TotalQPromedio]" caption="TotalQPromedio" measure="1" displayFolder="" measureGroup="Ventas" count="0"/>
    <cacheHierarchy uniqueName="[Measures].[TotalQVariacion]" caption="TotalQVariacion" measure="1" displayFolder="" measureGroup="Ventas" count="0"/>
    <cacheHierarchy uniqueName="[Measures].[MargenP1]" caption="MargenP1" measure="1" displayFolder="" measureGroup="Ventas" count="0"/>
    <cacheHierarchy uniqueName="[Measures].[MargenP2]" caption="MargenP2" measure="1" displayFolder="" measureGroup="Ventas" count="0"/>
    <cacheHierarchy uniqueName="[Measures].[MargentTotalPromedio]" caption="MargentTotalPromedio" measure="1" displayFolder="" measureGroup="Ventas" count="0"/>
    <cacheHierarchy uniqueName="[Measures].[QI]" caption="QI" measure="1" displayFolder="" measureGroup="Ventas" count="0"/>
    <cacheHierarchy uniqueName="[Measures].[MixP1]" caption="MixP1" measure="1" displayFolder="" measureGroup="Ventas" count="0"/>
    <cacheHierarchy uniqueName="[Measures].[MixPromedio]" caption="MixPromedio" measure="1" displayFolder="" measureGroup="Ventas" count="0"/>
    <cacheHierarchy uniqueName="[Measures].[PrecioPonderadoP1]" caption="PrecioPonderadoP1" measure="1" displayFolder="" measureGroup="Ventas" count="0"/>
    <cacheHierarchy uniqueName="[Measures].[PrecioPonderadoP2]" caption="PrecioPonderadoP2" measure="1" displayFolder="" measureGroup="Ventas" count="0"/>
    <cacheHierarchy uniqueName="[Measures].[VariacionPreciosPonderados]" caption="VariacionPreciosPonderados" measure="1" displayFolder="" measureGroup="Ventas" count="0"/>
    <cacheHierarchy uniqueName="[Measures].[PI]" caption="PI" measure="1" displayFolder="" measureGroup="Ventas" count="0"/>
    <cacheHierarchy uniqueName="[Measures].[ProfitBridge]" caption="ProfitBridge" measure="1" displayFolder="" measureGroup="Ventas" count="0"/>
    <cacheHierarchy uniqueName="[Measures].[QVentasP1]" caption="QVentasP1" measure="1" displayFolder="" measureGroup="Ventas" count="0"/>
    <cacheHierarchy uniqueName="[Measures].[QVentasP2]" caption="QVentasP2" measure="1" displayFolder="" measureGroup="Ventas" count="0"/>
    <cacheHierarchy uniqueName="[Measures].[MixP2]" caption="MixP2" measure="1" displayFolder="" measureGroup="Ventas" count="0"/>
    <cacheHierarchy uniqueName="[Measures].[CostoPonderadoP1]" caption="CostoPonderadoP1" measure="1" displayFolder="" measureGroup="Ventas" count="0"/>
    <cacheHierarchy uniqueName="[Measures].[CostoPonderadoP2]" caption="CostoPonderadoP2" measure="1" displayFolder="" measureGroup="Ventas" count="0"/>
    <cacheHierarchy uniqueName="[Measures].[VariacionCostoPonderado]" caption="VariacionCostoPonderado" measure="1" displayFolder="" measureGroup="Ventas" count="0"/>
    <cacheHierarchy uniqueName="[Measures].[VI]" caption="VI" measure="1" displayFolder="" measureGroup="Ventas" count="0"/>
    <cacheHierarchy uniqueName="[Measures].[PromedioPreciosPonderados]" caption="PromedioPreciosPonderados" measure="1" displayFolder="" measureGroup="Ventas" count="0"/>
    <cacheHierarchy uniqueName="[Measures].[PromedioCostosPonderados]" caption="PromedioCostosPonderados" measure="1" displayFolder="" measureGroup="Ventas" count="0"/>
    <cacheHierarchy uniqueName="[Measures].[MargenPromedioPonderado]" caption="MargenPromedioPonderado" measure="1" displayFolder="" measureGroup="Ventas" count="0"/>
    <cacheHierarchy uniqueName="[Measures].[VariacionMix]" caption="VariacionMix" measure="1" displayFolder="" measureGroup="Ventas" count="0"/>
    <cacheHierarchy uniqueName="[Measures].[MI]" caption="MI" measure="1" displayFolder="" measureGroup="Ventas" count="0"/>
    <cacheHierarchy uniqueName="[Measures].[__XL_Count Tabla1]" caption="__XL_Count Tabla1" measure="1" displayFolder="" measureGroup="Ventas" count="0" hidden="1"/>
    <cacheHierarchy uniqueName="[Measures].[__No hay medidas definidas]" caption="__No hay medidas definidas" measure="1" displayFolder="" count="0" hidden="1"/>
  </cacheHierarchies>
  <kpis count="0"/>
  <tupleCache>
    <entries count="6">
      <n v="565" in="0">
        <tpls c="3">
          <tpl fld="0" item="0"/>
          <tpl hier="2" item="0"/>
          <tpl hier="3" item="1"/>
        </tpls>
      </n>
      <n v="518" in="0">
        <tpls c="3">
          <tpl fld="0" item="5"/>
          <tpl hier="2" item="0"/>
          <tpl hier="3" item="1"/>
        </tpls>
      </n>
      <n v="-18.047666003567045" in="1">
        <tpls c="3">
          <tpl fld="0" item="4"/>
          <tpl hier="2" item="0"/>
          <tpl hier="3" item="1"/>
        </tpls>
      </n>
      <n v="-265.84551438057144" in="1">
        <tpls c="3">
          <tpl fld="0" item="3"/>
          <tpl hier="2" item="0"/>
          <tpl hier="3" item="1"/>
        </tpls>
      </n>
      <n v="187.86237102147635" in="1">
        <tpls c="3">
          <tpl fld="0" item="2"/>
          <tpl hier="2" item="0"/>
          <tpl hier="3" item="1"/>
        </tpls>
      </n>
      <n v="49.030809362662154" in="1">
        <tpls c="3">
          <tpl fld="0" item="1"/>
          <tpl hier="2" item="0"/>
          <tpl hier="3" item="1"/>
        </tpls>
      </n>
    </entries>
    <sets count="2">
      <set count="1" maxRank="1" setDefinition="{[Ventas].[Linea].[All]}">
        <tpls c="1">
          <tpl hier="2" item="4294967295"/>
        </tpls>
      </set>
      <set count="1" maxRank="1" setDefinition="{[Ventas].[Vendedor].[All]}">
        <tpls c="1">
          <tpl hier="3" item="4294967295"/>
        </tpls>
      </set>
    </sets>
    <queryCache count="12">
      <query mdx="[Measures].[ProfitP1]">
        <tpls c="1">
          <tpl fld="0" item="0"/>
        </tpls>
      </query>
      <query mdx="[Measures].[QI]">
        <tpls c="1">
          <tpl fld="0" item="1"/>
        </tpls>
      </query>
      <query mdx="[Measures].[PI]">
        <tpls c="1">
          <tpl fld="0" item="2"/>
        </tpls>
      </query>
      <query mdx="[Measures].[VI]">
        <tpls c="1">
          <tpl fld="0" item="3"/>
        </tpls>
      </query>
      <query mdx="[Measures].[MI]">
        <tpls c="1">
          <tpl fld="0" item="4"/>
        </tpls>
      </query>
      <query mdx="[Measures].[ProfitP2]">
        <tpls c="1">
          <tpl fld="0" item="5"/>
        </tpls>
      </query>
      <query mdx="ProfitP1">
        <tpls c="1">
          <tpl fld="0" item="0"/>
        </tpls>
      </query>
      <query mdx="ProfitP2">
        <tpls c="1">
          <tpl fld="0" item="5"/>
        </tpls>
      </query>
      <query mdx="MI">
        <tpls c="1">
          <tpl fld="0" item="4"/>
        </tpls>
      </query>
      <query mdx="VI">
        <tpls c="1">
          <tpl fld="0" item="3"/>
        </tpls>
      </query>
      <query mdx="PI">
        <tpls c="1">
          <tpl fld="0" item="2"/>
        </tpls>
      </query>
      <query mdx="QI">
        <tpls c="1">
          <tpl fld="0" item="1"/>
        </tpls>
      </query>
    </queryCache>
    <serverFormats count="2">
      <serverFormat format="0.00"/>
      <serverFormat format="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72.911333796299" createdVersion="3" refreshedVersion="8" minRefreshableVersion="3" recordCount="0" supportSubquery="1" supportAdvancedDrill="1" xr:uid="{970C1E34-D26D-4411-AFE2-C5F4A8E8CD6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Ventas].[Periodo]" caption="Periodo" attribute="1" defaultMemberUniqueName="[Ventas].[Periodo].[All]" allUniqueName="[Ventas].[Periodo].[All]" dimensionUniqueName="[Ventas]" displayFolder="" count="0" memberValueDatatype="130" unbalanced="0"/>
    <cacheHierarchy uniqueName="[Ventas].[Linea]" caption="Linea" attribute="1" defaultMemberUniqueName="[Ventas].[Linea].[All]" allUniqueName="[Ventas].[Linea].[All]" dimensionUniqueName="[Ventas]" displayFolder="" count="2" memberValueDatatype="130" unbalanced="0"/>
    <cacheHierarchy uniqueName="[Ventas].[Vendedor]" caption="Vendedor" attribute="1" defaultMemberUniqueName="[Ventas].[Vendedor].[All]" allUniqueName="[Ventas].[Vendedor].[All]" dimensionUniqueName="[Ventas]" displayFolder="" count="2" memberValueDatatype="130" unbalanced="0"/>
    <cacheHierarchy uniqueName="[Ventas].[Producto]" caption="Producto" attribute="1" defaultMemberUniqueName="[Ventas].[Producto].[All]" allUniqueName="[Ventas].[Producto].[All]" dimensionUniqueName="[Ventas]" displayFolder="" count="0" memberValueDatatype="130" unbalanced="0"/>
    <cacheHierarchy uniqueName="[Ventas].[Cantidad]" caption="Cantidad" attribute="1" defaultMemberUniqueName="[Ventas].[Cantidad].[All]" allUniqueName="[Ventas].[Cantidad].[All]" dimensionUniqueName="[Ventas]" displayFolder="" count="0" memberValueDatatype="20" unbalanced="0"/>
    <cacheHierarchy uniqueName="[Ventas].[Precio]" caption="Precio" attribute="1" defaultMemberUniqueName="[Ventas].[Precio].[All]" allUniqueName="[Ventas].[Precio].[All]" dimensionUniqueName="[Ventas]" displayFolder="" count="0" memberValueDatatype="20" unbalanced="0"/>
    <cacheHierarchy uniqueName="[Ventas].[CostoVar]" caption="CostoVar" attribute="1" defaultMemberUniqueName="[Ventas].[CostoVar].[All]" allUniqueName="[Ventas].[CostoVar].[All]" dimensionUniqueName="[Ventas]" displayFolder="" count="0" memberValueDatatype="20" unbalanced="0"/>
    <cacheHierarchy uniqueName="[Measures].[Total Cantidad]" caption="Total Cantidad" measure="1" displayFolder="" measureGroup="Ventas" count="0"/>
    <cacheHierarchy uniqueName="[Measures].[Ingresos]" caption="Ingresos" measure="1" displayFolder="" measureGroup="Ventas" count="0"/>
    <cacheHierarchy uniqueName="[Measures].[Costos]" caption="Costos" measure="1" displayFolder="" measureGroup="Ventas" count="0"/>
    <cacheHierarchy uniqueName="[Measures].[Ganancia]" caption="Ganancia" measure="1" displayFolder="" measureGroup="Ventas" count="0"/>
    <cacheHierarchy uniqueName="[Measures].[ProfitP1]" caption="ProfitP1" measure="1" displayFolder="" measureGroup="Ventas" count="0"/>
    <cacheHierarchy uniqueName="[Measures].[ProfitP2]" caption="ProfitP2" measure="1" displayFolder="" measureGroup="Ventas" count="0"/>
    <cacheHierarchy uniqueName="[Measures].[TotalQVentasP1]" caption="TotalQVentasP1" measure="1" displayFolder="" measureGroup="Ventas" count="0"/>
    <cacheHierarchy uniqueName="[Measures].[TotalQVentasP2]" caption="TotalQVentasP2" measure="1" displayFolder="" measureGroup="Ventas" count="0"/>
    <cacheHierarchy uniqueName="[Measures].[TotalQPromedio]" caption="TotalQPromedio" measure="1" displayFolder="" measureGroup="Ventas" count="0"/>
    <cacheHierarchy uniqueName="[Measures].[TotalQVariacion]" caption="TotalQVariacion" measure="1" displayFolder="" measureGroup="Ventas" count="0"/>
    <cacheHierarchy uniqueName="[Measures].[MargenP1]" caption="MargenP1" measure="1" displayFolder="" measureGroup="Ventas" count="0"/>
    <cacheHierarchy uniqueName="[Measures].[MargenP2]" caption="MargenP2" measure="1" displayFolder="" measureGroup="Ventas" count="0"/>
    <cacheHierarchy uniqueName="[Measures].[MargentTotalPromedio]" caption="MargentTotalPromedio" measure="1" displayFolder="" measureGroup="Ventas" count="0"/>
    <cacheHierarchy uniqueName="[Measures].[QI]" caption="QI" measure="1" displayFolder="" measureGroup="Ventas" count="0"/>
    <cacheHierarchy uniqueName="[Measures].[MixP1]" caption="MixP1" measure="1" displayFolder="" measureGroup="Ventas" count="0"/>
    <cacheHierarchy uniqueName="[Measures].[MixPromedio]" caption="MixPromedio" measure="1" displayFolder="" measureGroup="Ventas" count="0"/>
    <cacheHierarchy uniqueName="[Measures].[PrecioPonderadoP1]" caption="PrecioPonderadoP1" measure="1" displayFolder="" measureGroup="Ventas" count="0"/>
    <cacheHierarchy uniqueName="[Measures].[PrecioPonderadoP2]" caption="PrecioPonderadoP2" measure="1" displayFolder="" measureGroup="Ventas" count="0"/>
    <cacheHierarchy uniqueName="[Measures].[VariacionPreciosPonderados]" caption="VariacionPreciosPonderados" measure="1" displayFolder="" measureGroup="Ventas" count="0"/>
    <cacheHierarchy uniqueName="[Measures].[PI]" caption="PI" measure="1" displayFolder="" measureGroup="Ventas" count="0"/>
    <cacheHierarchy uniqueName="[Measures].[ProfitBridge]" caption="ProfitBridge" measure="1" displayFolder="" measureGroup="Ventas" count="0"/>
    <cacheHierarchy uniqueName="[Measures].[QVentasP1]" caption="QVentasP1" measure="1" displayFolder="" measureGroup="Ventas" count="0"/>
    <cacheHierarchy uniqueName="[Measures].[QVentasP2]" caption="QVentasP2" measure="1" displayFolder="" measureGroup="Ventas" count="0"/>
    <cacheHierarchy uniqueName="[Measures].[MixP2]" caption="MixP2" measure="1" displayFolder="" measureGroup="Ventas" count="0"/>
    <cacheHierarchy uniqueName="[Measures].[CostoPonderadoP1]" caption="CostoPonderadoP1" measure="1" displayFolder="" measureGroup="Ventas" count="0"/>
    <cacheHierarchy uniqueName="[Measures].[CostoPonderadoP2]" caption="CostoPonderadoP2" measure="1" displayFolder="" measureGroup="Ventas" count="0"/>
    <cacheHierarchy uniqueName="[Measures].[VariacionCostoPonderado]" caption="VariacionCostoPonderado" measure="1" displayFolder="" measureGroup="Ventas" count="0"/>
    <cacheHierarchy uniqueName="[Measures].[VI]" caption="VI" measure="1" displayFolder="" measureGroup="Ventas" count="0"/>
    <cacheHierarchy uniqueName="[Measures].[PromedioPreciosPonderados]" caption="PromedioPreciosPonderados" measure="1" displayFolder="" measureGroup="Ventas" count="0"/>
    <cacheHierarchy uniqueName="[Measures].[PromedioCostosPonderados]" caption="PromedioCostosPonderados" measure="1" displayFolder="" measureGroup="Ventas" count="0"/>
    <cacheHierarchy uniqueName="[Measures].[MargenPromedioPonderado]" caption="MargenPromedioPonderado" measure="1" displayFolder="" measureGroup="Ventas" count="0"/>
    <cacheHierarchy uniqueName="[Measures].[VariacionMix]" caption="VariacionMix" measure="1" displayFolder="" measureGroup="Ventas" count="0"/>
    <cacheHierarchy uniqueName="[Measures].[MI]" caption="MI" measure="1" displayFolder="" measureGroup="Ventas" count="0"/>
    <cacheHierarchy uniqueName="[Measures].[__XL_Count Tabla1]" caption="__XL_Count Tabla1" measure="1" displayFolder="" measureGroup="Ventas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01514947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16382-46D7-4BF7-AE79-0735DA0D55D1}" name="TablaDinámica1" cacheId="298" dataOnRows="1" applyNumberFormats="0" applyBorderFormats="0" applyFontFormats="0" applyPatternFormats="0" applyAlignmentFormats="0" applyWidthHeightFormats="1" dataCaption="Valores" tag="767ab8b2-5613-4e7e-a6bb-bdb8c0e6b7e5" updatedVersion="8" minRefreshableVersion="3" subtotalHiddenItems="1" itemPrintTitles="1" createdVersion="5" indent="0" outline="1" outlineData="1" multipleFieldFilters="0" chartFormat="1">
  <location ref="R6" firstHeaderRow="0" firstDataRow="0" firstDataCol="0" rowPageCount="2" colPageCount="1"/>
  <pivotFields count="2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pageFields count="2">
    <pageField fld="0" hier="1" name="[Ventas].[Linea].[All]" cap="All"/>
    <pageField fld="1" hier="2" name="[Ventas].[Vendedor].[All]" cap="All"/>
  </pageFields>
  <pivotHierarchies count="42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inea" xr10:uid="{E27B7ACE-96F0-40BA-BF06-1C1865BC64B8}" sourceName="[Ventas].[Linea]">
  <pivotTables>
    <pivotTable tabId="5" name="TablaDinámica1"/>
  </pivotTables>
  <data>
    <olap pivotCacheId="1015149470">
      <levels count="2">
        <level uniqueName="[Ventas].[Linea].[(All)]" sourceCaption="(All)" count="0"/>
        <level uniqueName="[Ventas].[Linea].[Linea]" sourceCaption="Linea" count="2">
          <ranges>
            <range startItem="0">
              <i n="[Ventas].[Linea].&amp;[LineaA]" c="LineaA"/>
              <i n="[Ventas].[Linea].&amp;[LineaB]" c="LineaB"/>
            </range>
          </ranges>
        </level>
      </levels>
      <selections count="1">
        <selection n="[Ventas].[Linea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C86161A7-5BCB-4237-A101-0CF5D3108B53}" sourceName="[Ventas].[Vendedor]">
  <pivotTables>
    <pivotTable tabId="5" name="TablaDinámica1"/>
  </pivotTables>
  <data>
    <olap pivotCacheId="1015149470">
      <levels count="2">
        <level uniqueName="[Ventas].[Vendedor].[(All)]" sourceCaption="(All)" count="0"/>
        <level uniqueName="[Ventas].[Vendedor].[Vendedor]" sourceCaption="Vendedor" count="4">
          <ranges>
            <range startItem="0">
              <i n="[Ventas].[Vendedor].&amp;[Vendedor 1]" c="Vendedor 1"/>
              <i n="[Ventas].[Vendedor].&amp;[Vendedor 2]" c="Vendedor 2"/>
              <i n="[Ventas].[Vendedor].&amp;[Vendedor 3]" c="Vendedor 3"/>
              <i n="[Ventas].[Vendedor].&amp;[Vendedor 4]" c="Vendedor 4"/>
            </range>
          </ranges>
        </level>
      </levels>
      <selections count="1">
        <selection n="[Ventas].[Vendedor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inea" xr10:uid="{C7F43660-E4E3-4C4F-B522-0FC14204A7E5}" cache="SegmentaciónDeDatos_Linea" caption="Linea" level="1" style="SlicerStyleLight3" rowHeight="234950"/>
  <slicer name="Vendedor" xr10:uid="{096E6E3C-42ED-4884-9EAD-34C15DF8DBF5}" cache="SegmentaciónDeDatos_Vendedor" caption="Vendedor" level="1" style="SlicerStyleLight3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515E4-579D-4348-ACCF-7BFF18589CA5}" name="Tabla1" displayName="Tabla1" ref="B2:H18" totalsRowShown="0">
  <autoFilter ref="B2:H18" xr:uid="{942515E4-579D-4348-ACCF-7BFF18589CA5}"/>
  <tableColumns count="7">
    <tableColumn id="1" xr3:uid="{E066E532-2096-43B7-82D2-0C64485C70B3}" name="Periodo" dataDxfId="0"/>
    <tableColumn id="8" xr3:uid="{A9106ADD-3383-48A3-819B-B2008244BBD3}" name="Linea" dataDxfId="6"/>
    <tableColumn id="7" xr3:uid="{A6CCD253-27A9-405B-8FEA-0EB36DD4AB2F}" name="Vendedor" dataDxfId="5"/>
    <tableColumn id="2" xr3:uid="{879E8BB4-4D18-4C7D-8C27-4C452A8F461E}" name="Producto" dataDxfId="4"/>
    <tableColumn id="3" xr3:uid="{0C4A3899-6702-42C9-A405-2AEB12895771}" name="Cantidad" dataDxfId="3"/>
    <tableColumn id="4" xr3:uid="{4476AA5B-21AF-4F72-8C38-E6B9ED6C84AC}" name="Precio" dataDxfId="2"/>
    <tableColumn id="5" xr3:uid="{AEA71BFB-FC7D-4843-A9C4-45EC271044A9}" name="CostoVa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1E70-907B-4C1C-B65B-52D63FA69EF4}">
  <dimension ref="B21:E27"/>
  <sheetViews>
    <sheetView showGridLines="0" tabSelected="1" zoomScaleNormal="100" workbookViewId="0">
      <selection activeCell="E21" sqref="E21"/>
    </sheetView>
  </sheetViews>
  <sheetFormatPr baseColWidth="10" defaultRowHeight="14.4" x14ac:dyDescent="0.3"/>
  <cols>
    <col min="2" max="2" width="23.33203125" bestFit="1" customWidth="1"/>
    <col min="3" max="3" width="19.6640625" bestFit="1" customWidth="1"/>
    <col min="5" max="5" width="19.88671875" bestFit="1" customWidth="1"/>
  </cols>
  <sheetData>
    <row r="21" spans="2:5" x14ac:dyDescent="0.3">
      <c r="B21" s="5" t="s">
        <v>20</v>
      </c>
      <c r="C21" s="8" vm="14">
        <f>CUBEVALUE("ThisWorkbookDataModel",Ventas!$S$3,Ventas!$S$4,"ProfitP1")</f>
        <v>565</v>
      </c>
      <c r="D21" s="6" t="str" vm="8">
        <f>CUBEMEMBER("ThisWorkbookDataModel","[Measures].[ProfitP1]")</f>
        <v>ProfitP1</v>
      </c>
      <c r="E21" s="1"/>
    </row>
    <row r="22" spans="2:5" x14ac:dyDescent="0.3">
      <c r="B22" s="5" t="s">
        <v>21</v>
      </c>
      <c r="C22" s="8" vm="13">
        <f>CUBEVALUE("ThisWorkbookDataModel",Ventas!$S$3,Ventas!$S$4,"QI")</f>
        <v>49.030809362662154</v>
      </c>
      <c r="D22" s="6" t="str" vm="7">
        <f>CUBEMEMBER("ThisWorkbookDataModel","[Measures].[QI]")</f>
        <v>QI</v>
      </c>
    </row>
    <row r="23" spans="2:5" x14ac:dyDescent="0.3">
      <c r="B23" s="5" t="s">
        <v>22</v>
      </c>
      <c r="C23" s="8" vm="12">
        <f>CUBEVALUE("ThisWorkbookDataModel",Ventas!$S$3,Ventas!$S$4,"PI")</f>
        <v>187.86237102147635</v>
      </c>
      <c r="D23" s="6" t="str" vm="6">
        <f>CUBEMEMBER("ThisWorkbookDataModel","[Measures].[PI]")</f>
        <v>PI</v>
      </c>
    </row>
    <row r="24" spans="2:5" x14ac:dyDescent="0.3">
      <c r="B24" s="5" t="s">
        <v>23</v>
      </c>
      <c r="C24" s="8" vm="11">
        <f>CUBEVALUE("ThisWorkbookDataModel",Ventas!$S$3,Ventas!$S$4,"VI")</f>
        <v>-265.84551438057144</v>
      </c>
      <c r="D24" s="6" t="str" vm="5">
        <f>CUBEMEMBER("ThisWorkbookDataModel","[Measures].[VI]")</f>
        <v>VI</v>
      </c>
    </row>
    <row r="25" spans="2:5" x14ac:dyDescent="0.3">
      <c r="B25" s="5" t="s">
        <v>24</v>
      </c>
      <c r="C25" s="8" vm="10">
        <f>CUBEVALUE("ThisWorkbookDataModel",Ventas!$S$3,Ventas!$S$4,"MI")</f>
        <v>-18.047666003567045</v>
      </c>
      <c r="D25" s="6" t="str" vm="4">
        <f>CUBEMEMBER("ThisWorkbookDataModel","[Measures].[MI]")</f>
        <v>MI</v>
      </c>
    </row>
    <row r="26" spans="2:5" x14ac:dyDescent="0.3">
      <c r="B26" s="5" t="s">
        <v>25</v>
      </c>
      <c r="C26" s="8" vm="9">
        <f>CUBEVALUE("ThisWorkbookDataModel",Ventas!$S$3,Ventas!$S$4,"ProfitP2")</f>
        <v>518</v>
      </c>
      <c r="D26" s="6" t="str" vm="3">
        <f>CUBEMEMBER("ThisWorkbookDataModel","[Measures].[ProfitP2]")</f>
        <v>ProfitP2</v>
      </c>
    </row>
    <row r="27" spans="2:5" x14ac:dyDescent="0.3">
      <c r="D27" s="7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47B1-0A37-4BC1-8BBC-4FDD5FA85E17}">
  <dimension ref="B1:S18"/>
  <sheetViews>
    <sheetView showGridLines="0" workbookViewId="0">
      <selection activeCell="E21" sqref="E21"/>
    </sheetView>
  </sheetViews>
  <sheetFormatPr baseColWidth="10" defaultRowHeight="14.4" x14ac:dyDescent="0.3"/>
  <cols>
    <col min="1" max="1" width="2.109375" customWidth="1"/>
    <col min="2" max="2" width="7.5546875" bestFit="1" customWidth="1"/>
    <col min="3" max="3" width="8.6640625" customWidth="1"/>
    <col min="4" max="4" width="12.109375" customWidth="1"/>
    <col min="5" max="5" width="8.77734375" bestFit="1" customWidth="1"/>
    <col min="6" max="6" width="8.5546875" bestFit="1" customWidth="1"/>
    <col min="7" max="7" width="6.21875" bestFit="1" customWidth="1"/>
    <col min="8" max="8" width="8.6640625" bestFit="1" customWidth="1"/>
    <col min="18" max="19" width="0" hidden="1" customWidth="1"/>
  </cols>
  <sheetData>
    <row r="1" spans="2:19" ht="7.2" customHeight="1" x14ac:dyDescent="0.3"/>
    <row r="2" spans="2:19" x14ac:dyDescent="0.3">
      <c r="B2" s="9" t="s">
        <v>4</v>
      </c>
      <c r="C2" s="9" t="s">
        <v>18</v>
      </c>
      <c r="D2" s="9" t="s">
        <v>11</v>
      </c>
      <c r="E2" s="9" t="s">
        <v>5</v>
      </c>
      <c r="F2" s="9" t="s">
        <v>6</v>
      </c>
      <c r="G2" s="9" t="s">
        <v>7</v>
      </c>
      <c r="H2" s="9" t="s">
        <v>8</v>
      </c>
    </row>
    <row r="3" spans="2:19" x14ac:dyDescent="0.3">
      <c r="B3" s="10" t="s">
        <v>3</v>
      </c>
      <c r="C3" s="10" t="s">
        <v>16</v>
      </c>
      <c r="D3" s="10" t="s">
        <v>12</v>
      </c>
      <c r="E3" s="10" t="s">
        <v>0</v>
      </c>
      <c r="F3" s="10">
        <v>35</v>
      </c>
      <c r="G3" s="10">
        <v>5</v>
      </c>
      <c r="H3" s="10">
        <v>3</v>
      </c>
      <c r="J3">
        <f>+Tabla1[[#This Row],[Precio]]-Tabla1[[#This Row],[CostoVar]]</f>
        <v>2</v>
      </c>
      <c r="K3" s="2">
        <f>+Tabla1[[#This Row],[Cantidad]]/SUM($F$3:$F$10)</f>
        <v>0.19444444444444445</v>
      </c>
      <c r="R3" s="3" t="s">
        <v>18</v>
      </c>
      <c r="S3" t="s" vm="1">
        <v>19</v>
      </c>
    </row>
    <row r="4" spans="2:19" x14ac:dyDescent="0.3">
      <c r="B4" s="10" t="s">
        <v>3</v>
      </c>
      <c r="C4" s="10" t="s">
        <v>16</v>
      </c>
      <c r="D4" s="10" t="s">
        <v>13</v>
      </c>
      <c r="E4" s="10" t="s">
        <v>1</v>
      </c>
      <c r="F4" s="10">
        <v>20</v>
      </c>
      <c r="G4" s="10">
        <v>9</v>
      </c>
      <c r="H4" s="10">
        <v>7</v>
      </c>
      <c r="J4">
        <f>+Tabla1[[#This Row],[Precio]]-Tabla1[[#This Row],[CostoVar]]</f>
        <v>2</v>
      </c>
      <c r="K4" s="2">
        <f>+Tabla1[[#This Row],[Cantidad]]/SUM($F$3:$F$10)</f>
        <v>0.1111111111111111</v>
      </c>
      <c r="R4" s="3" t="s">
        <v>11</v>
      </c>
      <c r="S4" t="s" vm="2">
        <v>19</v>
      </c>
    </row>
    <row r="5" spans="2:19" x14ac:dyDescent="0.3">
      <c r="B5" s="10" t="s">
        <v>3</v>
      </c>
      <c r="C5" s="10" t="s">
        <v>17</v>
      </c>
      <c r="D5" s="10" t="s">
        <v>14</v>
      </c>
      <c r="E5" s="10" t="s">
        <v>9</v>
      </c>
      <c r="F5" s="10">
        <v>20</v>
      </c>
      <c r="G5" s="10">
        <v>8</v>
      </c>
      <c r="H5" s="10">
        <v>5</v>
      </c>
      <c r="J5">
        <f>+Tabla1[[#This Row],[Precio]]-Tabla1[[#This Row],[CostoVar]]</f>
        <v>3</v>
      </c>
      <c r="K5" s="2">
        <f>+Tabla1[[#This Row],[Cantidad]]/SUM($F$3:$F$10)</f>
        <v>0.1111111111111111</v>
      </c>
    </row>
    <row r="6" spans="2:19" x14ac:dyDescent="0.3">
      <c r="B6" s="10" t="s">
        <v>3</v>
      </c>
      <c r="C6" s="10" t="s">
        <v>17</v>
      </c>
      <c r="D6" s="10" t="s">
        <v>15</v>
      </c>
      <c r="E6" s="10" t="s">
        <v>10</v>
      </c>
      <c r="F6" s="10">
        <v>35</v>
      </c>
      <c r="G6" s="10">
        <v>8</v>
      </c>
      <c r="H6" s="10">
        <v>4</v>
      </c>
      <c r="J6">
        <f>+Tabla1[[#This Row],[Precio]]-Tabla1[[#This Row],[CostoVar]]</f>
        <v>4</v>
      </c>
      <c r="K6" s="2">
        <f>+Tabla1[[#This Row],[Cantidad]]/SUM($F$3:$F$10)</f>
        <v>0.19444444444444445</v>
      </c>
    </row>
    <row r="7" spans="2:19" x14ac:dyDescent="0.3">
      <c r="B7" s="10" t="s">
        <v>3</v>
      </c>
      <c r="C7" s="10" t="s">
        <v>16</v>
      </c>
      <c r="D7" s="10" t="s">
        <v>12</v>
      </c>
      <c r="E7" s="10" t="s">
        <v>0</v>
      </c>
      <c r="F7" s="10">
        <v>15</v>
      </c>
      <c r="G7" s="10">
        <v>5</v>
      </c>
      <c r="H7" s="10">
        <v>3</v>
      </c>
      <c r="J7">
        <f>+Tabla1[[#This Row],[Precio]]-Tabla1[[#This Row],[CostoVar]]</f>
        <v>2</v>
      </c>
      <c r="K7" s="2">
        <f>+Tabla1[[#This Row],[Cantidad]]/SUM($F$3:$F$10)</f>
        <v>8.3333333333333329E-2</v>
      </c>
    </row>
    <row r="8" spans="2:19" x14ac:dyDescent="0.3">
      <c r="B8" s="10" t="s">
        <v>3</v>
      </c>
      <c r="C8" s="10" t="s">
        <v>16</v>
      </c>
      <c r="D8" s="10" t="s">
        <v>13</v>
      </c>
      <c r="E8" s="10" t="s">
        <v>1</v>
      </c>
      <c r="F8" s="10">
        <v>10</v>
      </c>
      <c r="G8" s="10">
        <v>9</v>
      </c>
      <c r="H8" s="10">
        <v>7</v>
      </c>
      <c r="J8">
        <f>+Tabla1[[#This Row],[Precio]]-Tabla1[[#This Row],[CostoVar]]</f>
        <v>2</v>
      </c>
      <c r="K8" s="2">
        <f>+Tabla1[[#This Row],[Cantidad]]/SUM($F$3:$F$10)</f>
        <v>5.5555555555555552E-2</v>
      </c>
    </row>
    <row r="9" spans="2:19" x14ac:dyDescent="0.3">
      <c r="B9" s="10" t="s">
        <v>3</v>
      </c>
      <c r="C9" s="10" t="s">
        <v>17</v>
      </c>
      <c r="D9" s="10" t="s">
        <v>14</v>
      </c>
      <c r="E9" s="10" t="s">
        <v>9</v>
      </c>
      <c r="F9" s="10">
        <v>35</v>
      </c>
      <c r="G9" s="10">
        <v>9</v>
      </c>
      <c r="H9" s="10">
        <v>4</v>
      </c>
      <c r="J9">
        <f>+Tabla1[[#This Row],[Precio]]-Tabla1[[#This Row],[CostoVar]]</f>
        <v>5</v>
      </c>
      <c r="K9" s="2">
        <f>+Tabla1[[#This Row],[Cantidad]]/SUM($F$3:$F$10)</f>
        <v>0.19444444444444445</v>
      </c>
      <c r="O9" s="4"/>
    </row>
    <row r="10" spans="2:19" x14ac:dyDescent="0.3">
      <c r="B10" s="10" t="s">
        <v>3</v>
      </c>
      <c r="C10" s="10" t="s">
        <v>17</v>
      </c>
      <c r="D10" s="10" t="s">
        <v>15</v>
      </c>
      <c r="E10" s="10" t="s">
        <v>10</v>
      </c>
      <c r="F10" s="10">
        <v>10</v>
      </c>
      <c r="G10" s="10">
        <v>8</v>
      </c>
      <c r="H10" s="10">
        <v>5</v>
      </c>
      <c r="J10">
        <f>+Tabla1[[#This Row],[Precio]]-Tabla1[[#This Row],[CostoVar]]</f>
        <v>3</v>
      </c>
      <c r="K10" s="2">
        <f>+Tabla1[[#This Row],[Cantidad]]/SUM($F$3:$F$10)</f>
        <v>5.5555555555555552E-2</v>
      </c>
      <c r="O10" s="4"/>
    </row>
    <row r="11" spans="2:19" x14ac:dyDescent="0.3">
      <c r="B11" s="10" t="s">
        <v>2</v>
      </c>
      <c r="C11" s="10" t="s">
        <v>16</v>
      </c>
      <c r="D11" s="10" t="s">
        <v>12</v>
      </c>
      <c r="E11" s="10" t="s">
        <v>0</v>
      </c>
      <c r="F11" s="10">
        <v>25</v>
      </c>
      <c r="G11" s="10">
        <v>10</v>
      </c>
      <c r="H11" s="10">
        <v>7</v>
      </c>
      <c r="J11">
        <f>+Tabla1[[#This Row],[Precio]]-Tabla1[[#This Row],[CostoVar]]</f>
        <v>3</v>
      </c>
      <c r="K11" s="2">
        <f>+Tabla1[[#This Row],[Cantidad]]/SUM($F$11:$F$18)</f>
        <v>0.12690355329949238</v>
      </c>
      <c r="N11" s="4"/>
    </row>
    <row r="12" spans="2:19" x14ac:dyDescent="0.3">
      <c r="B12" s="10" t="s">
        <v>2</v>
      </c>
      <c r="C12" s="10" t="s">
        <v>16</v>
      </c>
      <c r="D12" s="10" t="s">
        <v>13</v>
      </c>
      <c r="E12" s="10" t="s">
        <v>1</v>
      </c>
      <c r="F12" s="10">
        <v>25</v>
      </c>
      <c r="G12" s="10">
        <v>8</v>
      </c>
      <c r="H12" s="10">
        <v>6</v>
      </c>
      <c r="J12">
        <f>+Tabla1[[#This Row],[Precio]]-Tabla1[[#This Row],[CostoVar]]</f>
        <v>2</v>
      </c>
      <c r="K12" s="2">
        <f>+Tabla1[[#This Row],[Cantidad]]/SUM($F$11:$F$18)</f>
        <v>0.12690355329949238</v>
      </c>
      <c r="N12" s="4"/>
    </row>
    <row r="13" spans="2:19" x14ac:dyDescent="0.3">
      <c r="B13" s="10" t="s">
        <v>2</v>
      </c>
      <c r="C13" s="10" t="s">
        <v>17</v>
      </c>
      <c r="D13" s="10" t="s">
        <v>14</v>
      </c>
      <c r="E13" s="10" t="s">
        <v>9</v>
      </c>
      <c r="F13" s="10">
        <v>35</v>
      </c>
      <c r="G13" s="10">
        <v>9</v>
      </c>
      <c r="H13" s="10">
        <v>7</v>
      </c>
      <c r="J13">
        <f>+Tabla1[[#This Row],[Precio]]-Tabla1[[#This Row],[CostoVar]]</f>
        <v>2</v>
      </c>
      <c r="K13" s="2">
        <f>+Tabla1[[#This Row],[Cantidad]]/SUM($F$11:$F$18)</f>
        <v>0.17766497461928935</v>
      </c>
    </row>
    <row r="14" spans="2:19" x14ac:dyDescent="0.3">
      <c r="B14" s="10" t="s">
        <v>2</v>
      </c>
      <c r="C14" s="10" t="s">
        <v>17</v>
      </c>
      <c r="D14" s="10" t="s">
        <v>15</v>
      </c>
      <c r="E14" s="10" t="s">
        <v>10</v>
      </c>
      <c r="F14" s="10">
        <v>25</v>
      </c>
      <c r="G14" s="10">
        <v>7</v>
      </c>
      <c r="H14" s="10">
        <v>4</v>
      </c>
      <c r="J14">
        <f>+Tabla1[[#This Row],[Precio]]-Tabla1[[#This Row],[CostoVar]]</f>
        <v>3</v>
      </c>
      <c r="K14" s="2">
        <f>+Tabla1[[#This Row],[Cantidad]]/SUM($F$11:$F$18)</f>
        <v>0.12690355329949238</v>
      </c>
    </row>
    <row r="15" spans="2:19" x14ac:dyDescent="0.3">
      <c r="B15" s="10" t="s">
        <v>2</v>
      </c>
      <c r="C15" s="10" t="s">
        <v>16</v>
      </c>
      <c r="D15" s="10" t="s">
        <v>12</v>
      </c>
      <c r="E15" s="10" t="s">
        <v>0</v>
      </c>
      <c r="F15" s="10">
        <v>10</v>
      </c>
      <c r="G15" s="10">
        <v>11</v>
      </c>
      <c r="H15" s="10">
        <v>8</v>
      </c>
      <c r="J15">
        <f>+Tabla1[[#This Row],[Precio]]-Tabla1[[#This Row],[CostoVar]]</f>
        <v>3</v>
      </c>
      <c r="K15" s="2">
        <f>+Tabla1[[#This Row],[Cantidad]]/SUM($F$11:$F$18)</f>
        <v>5.0761421319796954E-2</v>
      </c>
    </row>
    <row r="16" spans="2:19" x14ac:dyDescent="0.3">
      <c r="B16" s="10" t="s">
        <v>2</v>
      </c>
      <c r="C16" s="10" t="s">
        <v>16</v>
      </c>
      <c r="D16" s="10" t="s">
        <v>13</v>
      </c>
      <c r="E16" s="10" t="s">
        <v>1</v>
      </c>
      <c r="F16" s="10">
        <v>30</v>
      </c>
      <c r="G16" s="10">
        <v>7</v>
      </c>
      <c r="H16" s="10">
        <v>6</v>
      </c>
      <c r="J16">
        <f>+Tabla1[[#This Row],[Precio]]-Tabla1[[#This Row],[CostoVar]]</f>
        <v>1</v>
      </c>
      <c r="K16" s="2">
        <f>+Tabla1[[#This Row],[Cantidad]]/SUM($F$11:$F$18)</f>
        <v>0.15228426395939088</v>
      </c>
    </row>
    <row r="17" spans="2:11" x14ac:dyDescent="0.3">
      <c r="B17" s="10" t="s">
        <v>2</v>
      </c>
      <c r="C17" s="10" t="s">
        <v>17</v>
      </c>
      <c r="D17" s="10" t="s">
        <v>14</v>
      </c>
      <c r="E17" s="10" t="s">
        <v>9</v>
      </c>
      <c r="F17" s="10">
        <v>35</v>
      </c>
      <c r="G17" s="10">
        <v>10</v>
      </c>
      <c r="H17" s="10">
        <v>6</v>
      </c>
      <c r="J17">
        <f>+Tabla1[[#This Row],[Precio]]-Tabla1[[#This Row],[CostoVar]]</f>
        <v>4</v>
      </c>
      <c r="K17" s="2">
        <f>+Tabla1[[#This Row],[Cantidad]]/SUM($F$11:$F$18)</f>
        <v>0.17766497461928935</v>
      </c>
    </row>
    <row r="18" spans="2:11" x14ac:dyDescent="0.3">
      <c r="B18" s="10" t="s">
        <v>2</v>
      </c>
      <c r="C18" s="10" t="s">
        <v>17</v>
      </c>
      <c r="D18" s="10" t="s">
        <v>15</v>
      </c>
      <c r="E18" s="10" t="s">
        <v>10</v>
      </c>
      <c r="F18" s="10">
        <v>12</v>
      </c>
      <c r="G18" s="10">
        <v>8</v>
      </c>
      <c r="H18" s="10">
        <v>4</v>
      </c>
      <c r="J18">
        <f>+Tabla1[[#This Row],[Precio]]-Tabla1[[#This Row],[CostoVar]]</f>
        <v>4</v>
      </c>
      <c r="K18" s="2">
        <f>+Tabla1[[#This Row],[Cantidad]]/SUM($F$11:$F$18)</f>
        <v>6.0913705583756347E-2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14016C5-FE37-463B-BBDC-269EDC913A04}">
  <ds:schemaRefs/>
</ds:datastoreItem>
</file>

<file path=customXml/itemProps2.xml><?xml version="1.0" encoding="utf-8"?>
<ds:datastoreItem xmlns:ds="http://schemas.openxmlformats.org/officeDocument/2006/customXml" ds:itemID="{45420BC8-4B02-4C1B-928B-6855D90F85F6}">
  <ds:schemaRefs/>
</ds:datastoreItem>
</file>

<file path=customXml/itemProps3.xml><?xml version="1.0" encoding="utf-8"?>
<ds:datastoreItem xmlns:ds="http://schemas.openxmlformats.org/officeDocument/2006/customXml" ds:itemID="{94D6EB4C-AC9C-480B-A712-EFD0763E4827}">
  <ds:schemaRefs/>
</ds:datastoreItem>
</file>

<file path=customXml/itemProps4.xml><?xml version="1.0" encoding="utf-8"?>
<ds:datastoreItem xmlns:ds="http://schemas.openxmlformats.org/officeDocument/2006/customXml" ds:itemID="{88D46475-AF68-4285-953C-6C8B16827FFE}">
  <ds:schemaRefs/>
</ds:datastoreItem>
</file>

<file path=customXml/itemProps5.xml><?xml version="1.0" encoding="utf-8"?>
<ds:datastoreItem xmlns:ds="http://schemas.openxmlformats.org/officeDocument/2006/customXml" ds:itemID="{D6B0E2C6-0B98-4F8E-B0BB-06D8B4877234}">
  <ds:schemaRefs/>
</ds:datastoreItem>
</file>

<file path=customXml/itemProps6.xml><?xml version="1.0" encoding="utf-8"?>
<ds:datastoreItem xmlns:ds="http://schemas.openxmlformats.org/officeDocument/2006/customXml" ds:itemID="{12EDDEE6-4B7D-4118-AF81-7B791A8865BD}">
  <ds:schemaRefs/>
</ds:datastoreItem>
</file>

<file path=customXml/itemProps7.xml><?xml version="1.0" encoding="utf-8"?>
<ds:datastoreItem xmlns:ds="http://schemas.openxmlformats.org/officeDocument/2006/customXml" ds:itemID="{CC8A03D6-2536-4611-8624-BA42F93396B3}">
  <ds:schemaRefs/>
</ds:datastoreItem>
</file>

<file path=customXml/itemProps8.xml><?xml version="1.0" encoding="utf-8"?>
<ds:datastoreItem xmlns:ds="http://schemas.openxmlformats.org/officeDocument/2006/customXml" ds:itemID="{D6CA7875-7C54-4F70-8D11-20FC5F12EE3C}">
  <ds:schemaRefs/>
</ds:datastoreItem>
</file>

<file path=customXml/itemProps9.xml><?xml version="1.0" encoding="utf-8"?>
<ds:datastoreItem xmlns:ds="http://schemas.openxmlformats.org/officeDocument/2006/customXml" ds:itemID="{05712983-024A-4CC7-8F21-E9B29C3A1592}">
  <ds:schemaRefs/>
</ds:datastoreItem>
</file>

<file path=customXml/itemProps10.xml><?xml version="1.0" encoding="utf-8"?>
<ds:datastoreItem xmlns:ds="http://schemas.openxmlformats.org/officeDocument/2006/customXml" ds:itemID="{CC14E319-C7E2-4CEA-A321-65880427C423}">
  <ds:schemaRefs/>
</ds:datastoreItem>
</file>

<file path=customXml/itemProps11.xml><?xml version="1.0" encoding="utf-8"?>
<ds:datastoreItem xmlns:ds="http://schemas.openxmlformats.org/officeDocument/2006/customXml" ds:itemID="{5E2326ED-8071-4642-A344-989781B8BC1B}">
  <ds:schemaRefs/>
</ds:datastoreItem>
</file>

<file path=customXml/itemProps12.xml><?xml version="1.0" encoding="utf-8"?>
<ds:datastoreItem xmlns:ds="http://schemas.openxmlformats.org/officeDocument/2006/customXml" ds:itemID="{8B409E3B-F389-4A00-BCA7-7583FF725831}">
  <ds:schemaRefs/>
</ds:datastoreItem>
</file>

<file path=customXml/itemProps13.xml><?xml version="1.0" encoding="utf-8"?>
<ds:datastoreItem xmlns:ds="http://schemas.openxmlformats.org/officeDocument/2006/customXml" ds:itemID="{C666D8EF-DE79-4A4E-9843-FD91A9F5FCD6}">
  <ds:schemaRefs/>
</ds:datastoreItem>
</file>

<file path=customXml/itemProps14.xml><?xml version="1.0" encoding="utf-8"?>
<ds:datastoreItem xmlns:ds="http://schemas.openxmlformats.org/officeDocument/2006/customXml" ds:itemID="{52884566-7E91-4659-8C67-A1285230C7CA}">
  <ds:schemaRefs/>
</ds:datastoreItem>
</file>

<file path=customXml/itemProps15.xml><?xml version="1.0" encoding="utf-8"?>
<ds:datastoreItem xmlns:ds="http://schemas.openxmlformats.org/officeDocument/2006/customXml" ds:itemID="{C0C7ABB5-02B9-4494-AE54-3DD6AE73ECD3}">
  <ds:schemaRefs/>
</ds:datastoreItem>
</file>

<file path=customXml/itemProps16.xml><?xml version="1.0" encoding="utf-8"?>
<ds:datastoreItem xmlns:ds="http://schemas.openxmlformats.org/officeDocument/2006/customXml" ds:itemID="{E3FCA49A-7C59-41A0-8EA1-BE3F126451C8}">
  <ds:schemaRefs/>
</ds:datastoreItem>
</file>

<file path=customXml/itemProps17.xml><?xml version="1.0" encoding="utf-8"?>
<ds:datastoreItem xmlns:ds="http://schemas.openxmlformats.org/officeDocument/2006/customXml" ds:itemID="{F307AE83-21E8-4BEA-A8A5-B21EACA3039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Profit Bridge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2026-01-04T14:39:28Z</dcterms:created>
  <dcterms:modified xsi:type="dcterms:W3CDTF">2026-02-20T01:53:06Z</dcterms:modified>
</cp:coreProperties>
</file>